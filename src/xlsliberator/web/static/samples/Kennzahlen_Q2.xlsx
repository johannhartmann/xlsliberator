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Umsatz" sheetId="2" state="visible" r:id="rId2"/>
    <sheet name="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5315C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531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Kennzahlen Q2</t>
        </is>
      </c>
    </row>
    <row r="2">
      <c r="A2" s="2" t="inlineStr">
        <is>
          <t>Kennzahl</t>
        </is>
      </c>
      <c r="B2" s="2" t="inlineStr">
        <is>
          <t>Wert</t>
        </is>
      </c>
    </row>
    <row r="3">
      <c r="A3" t="inlineStr">
        <is>
          <t>Umsatz gesamt (T€)</t>
        </is>
      </c>
      <c r="B3">
        <f>Umsatz.E8</f>
        <v/>
      </c>
    </row>
    <row r="4">
      <c r="A4" t="inlineStr">
        <is>
          <t>Top-Produkt-Anteil (%)</t>
        </is>
      </c>
      <c r="B4">
        <f>MAX(Umsatz.F3:F7)</f>
        <v/>
      </c>
    </row>
    <row r="5">
      <c r="A5" t="inlineStr">
        <is>
          <t>Ø Umsatz/Produkt (T€)</t>
        </is>
      </c>
      <c r="B5">
        <f>ROUND(Umsatz.E8/5,1)</f>
        <v/>
      </c>
    </row>
    <row r="6">
      <c r="A6" t="inlineStr">
        <is>
          <t>Wachstum Mai→Juni (%)</t>
        </is>
      </c>
      <c r="B6">
        <f>Trend.C5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Umsatz Q2 (in T€)</t>
        </is>
      </c>
    </row>
    <row r="2">
      <c r="A2" s="2" t="inlineStr">
        <is>
          <t>Produkt</t>
        </is>
      </c>
      <c r="B2" s="2" t="inlineStr">
        <is>
          <t>April</t>
        </is>
      </c>
      <c r="C2" s="2" t="inlineStr">
        <is>
          <t>Mai</t>
        </is>
      </c>
      <c r="D2" s="2" t="inlineStr">
        <is>
          <t>Juni</t>
        </is>
      </c>
      <c r="E2" s="2" t="inlineStr">
        <is>
          <t>Q2 gesamt</t>
        </is>
      </c>
      <c r="F2" s="2" t="inlineStr">
        <is>
          <t>Anteil %</t>
        </is>
      </c>
    </row>
    <row r="3">
      <c r="A3" t="inlineStr">
        <is>
          <t>Software</t>
        </is>
      </c>
      <c r="B3" t="n">
        <v>120</v>
      </c>
      <c r="C3" t="n">
        <v>138</v>
      </c>
      <c r="D3" t="n">
        <v>156</v>
      </c>
      <c r="E3">
        <f>SUM(B3:D3)</f>
        <v/>
      </c>
      <c r="F3">
        <f>ROUND(E3/SUM($E$3:$E$7)*100,1)</f>
        <v/>
      </c>
    </row>
    <row r="4">
      <c r="A4" t="inlineStr">
        <is>
          <t>Beratung</t>
        </is>
      </c>
      <c r="B4" t="n">
        <v>165</v>
      </c>
      <c r="C4" t="n">
        <v>183</v>
      </c>
      <c r="D4" t="n">
        <v>201</v>
      </c>
      <c r="E4">
        <f>SUM(B4:D4)</f>
        <v/>
      </c>
      <c r="F4">
        <f>ROUND(E4/SUM($E$3:$E$7)*100,1)</f>
        <v/>
      </c>
    </row>
    <row r="5">
      <c r="A5" t="inlineStr">
        <is>
          <t>Wartung</t>
        </is>
      </c>
      <c r="B5" t="n">
        <v>210</v>
      </c>
      <c r="C5" t="n">
        <v>228</v>
      </c>
      <c r="D5" t="n">
        <v>246</v>
      </c>
      <c r="E5">
        <f>SUM(B5:D5)</f>
        <v/>
      </c>
      <c r="F5">
        <f>ROUND(E5/SUM($E$3:$E$7)*100,1)</f>
        <v/>
      </c>
    </row>
    <row r="6">
      <c r="A6" t="inlineStr">
        <is>
          <t>Schulung</t>
        </is>
      </c>
      <c r="B6" t="n">
        <v>255</v>
      </c>
      <c r="C6" t="n">
        <v>273</v>
      </c>
      <c r="D6" t="n">
        <v>291</v>
      </c>
      <c r="E6">
        <f>SUM(B6:D6)</f>
        <v/>
      </c>
      <c r="F6">
        <f>ROUND(E6/SUM($E$3:$E$7)*100,1)</f>
        <v/>
      </c>
    </row>
    <row r="7">
      <c r="A7" t="inlineStr">
        <is>
          <t>Lizenzen</t>
        </is>
      </c>
      <c r="B7" t="n">
        <v>300</v>
      </c>
      <c r="C7" t="n">
        <v>318</v>
      </c>
      <c r="D7" t="n">
        <v>336</v>
      </c>
      <c r="E7">
        <f>SUM(B7:D7)</f>
        <v/>
      </c>
      <c r="F7">
        <f>ROUND(E7/SUM($E$3:$E$7)*100,1)</f>
        <v/>
      </c>
    </row>
    <row r="8">
      <c r="A8" s="3" t="inlineStr">
        <is>
          <t>Gesamt</t>
        </is>
      </c>
      <c r="B8">
        <f>SUM(B3:B7)</f>
        <v/>
      </c>
      <c r="C8">
        <f>SUM(C3:C7)</f>
        <v/>
      </c>
      <c r="D8">
        <f>SUM(D3:D7)</f>
        <v/>
      </c>
      <c r="E8">
        <f>SUM(E3:E7)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Monatstrend</t>
        </is>
      </c>
    </row>
    <row r="2">
      <c r="A2" s="2" t="inlineStr">
        <is>
          <t>Monat</t>
        </is>
      </c>
      <c r="B2" s="2" t="inlineStr">
        <is>
          <t>Umsatz</t>
        </is>
      </c>
      <c r="C2" s="2" t="inlineStr">
        <is>
          <t>Veränderung %</t>
        </is>
      </c>
    </row>
    <row r="3">
      <c r="A3" t="inlineStr">
        <is>
          <t>April</t>
        </is>
      </c>
      <c r="B3">
        <f>Umsatz.B8</f>
        <v/>
      </c>
    </row>
    <row r="4">
      <c r="A4" t="inlineStr">
        <is>
          <t>Mai</t>
        </is>
      </c>
      <c r="B4">
        <f>Umsatz.C8</f>
        <v/>
      </c>
      <c r="C4">
        <f>ROUND((B4-B3)/B3*100,1)</f>
        <v/>
      </c>
    </row>
    <row r="5">
      <c r="A5" t="inlineStr">
        <is>
          <t>Juni</t>
        </is>
      </c>
      <c r="B5">
        <f>Umsatz.D8</f>
        <v/>
      </c>
      <c r="C5">
        <f>ROUND((B5-B4)/B4*100,1)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2026-06-27T13:16:04Z</dcterms:created>
  <dcterms:modified xsi:type="dcterms:W3CDTF">2026-06-27T13:16:04Z</dcterms:modified>
</cp:coreProperties>
</file>