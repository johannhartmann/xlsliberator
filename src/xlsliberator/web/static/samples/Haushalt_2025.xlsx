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Einnahmen" sheetId="2" state="visible" r:id="rId2"/>
    <sheet name="Ausgaben" sheetId="3" state="visible" r:id="rId3"/>
    <sheet name="Bila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5315C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31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Haushaltsübersicht 2025</t>
        </is>
      </c>
    </row>
    <row r="2">
      <c r="A2" s="2" t="inlineStr">
        <is>
          <t>Kennzahl</t>
        </is>
      </c>
      <c r="B2" s="2" t="inlineStr">
        <is>
          <t>Wert</t>
        </is>
      </c>
    </row>
    <row r="3">
      <c r="A3" t="inlineStr">
        <is>
          <t>Einnahmen gesamt (€)</t>
        </is>
      </c>
      <c r="B3">
        <f>Einnahmen.N7</f>
        <v/>
      </c>
    </row>
    <row r="4">
      <c r="A4" t="inlineStr">
        <is>
          <t>Ausgaben gesamt (€)</t>
        </is>
      </c>
      <c r="B4">
        <f>Ausgaben.N9</f>
        <v/>
      </c>
    </row>
    <row r="5">
      <c r="A5" t="inlineStr">
        <is>
          <t>Saldo (€)</t>
        </is>
      </c>
      <c r="B5">
        <f>Bilanz.B5</f>
        <v/>
      </c>
    </row>
    <row r="6">
      <c r="A6" t="inlineStr">
        <is>
          <t>Deckungsquote (%)</t>
        </is>
      </c>
      <c r="B6">
        <f>Bilanz.B6</f>
        <v/>
      </c>
    </row>
    <row r="7">
      <c r="A7" t="inlineStr">
        <is>
          <t>Ø Einnahmen/Monat (€)</t>
        </is>
      </c>
      <c r="B7">
        <f>ROUND(Einnahmen.N7/12,2)</f>
        <v/>
      </c>
    </row>
    <row r="8">
      <c r="A8" t="inlineStr">
        <is>
          <t>Ø Ausgaben/Monat (€)</t>
        </is>
      </c>
      <c r="B8">
        <f>ROUND(Ausgaben.N9/12,2)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Einnahmen 2025 (in €)</t>
        </is>
      </c>
    </row>
    <row r="2">
      <c r="A2" s="2" t="inlineStr">
        <is>
          <t>Kategorie</t>
        </is>
      </c>
      <c r="B2" s="2" t="inlineStr">
        <is>
          <t>Januar</t>
        </is>
      </c>
      <c r="C2" s="2" t="inlineStr">
        <is>
          <t>Februar</t>
        </is>
      </c>
      <c r="D2" s="2" t="inlineStr">
        <is>
          <t>März</t>
        </is>
      </c>
      <c r="E2" s="2" t="inlineStr">
        <is>
          <t>April</t>
        </is>
      </c>
      <c r="F2" s="2" t="inlineStr">
        <is>
          <t>Mai</t>
        </is>
      </c>
      <c r="G2" s="2" t="inlineStr">
        <is>
          <t>Juni</t>
        </is>
      </c>
      <c r="H2" s="2" t="inlineStr">
        <is>
          <t>Juli</t>
        </is>
      </c>
      <c r="I2" s="2" t="inlineStr">
        <is>
          <t>August</t>
        </is>
      </c>
      <c r="J2" s="2" t="inlineStr">
        <is>
          <t>September</t>
        </is>
      </c>
      <c r="K2" s="2" t="inlineStr">
        <is>
          <t>Oktober</t>
        </is>
      </c>
      <c r="L2" s="2" t="inlineStr">
        <is>
          <t>November</t>
        </is>
      </c>
      <c r="M2" s="2" t="inlineStr">
        <is>
          <t>Dezember</t>
        </is>
      </c>
      <c r="N2" s="2" t="inlineStr">
        <is>
          <t>Summe</t>
        </is>
      </c>
    </row>
    <row r="3">
      <c r="A3" t="inlineStr">
        <is>
          <t>Steuern</t>
        </is>
      </c>
      <c r="B3" t="n">
        <v>12000</v>
      </c>
      <c r="C3" t="n">
        <v>12130</v>
      </c>
      <c r="D3" t="n">
        <v>12260</v>
      </c>
      <c r="E3" t="n">
        <v>12390</v>
      </c>
      <c r="F3" t="n">
        <v>12520</v>
      </c>
      <c r="G3" t="n">
        <v>12650</v>
      </c>
      <c r="H3" t="n">
        <v>12780</v>
      </c>
      <c r="I3" t="n">
        <v>12910</v>
      </c>
      <c r="J3" t="n">
        <v>13040</v>
      </c>
      <c r="K3" t="n">
        <v>13170</v>
      </c>
      <c r="L3" t="n">
        <v>13300</v>
      </c>
      <c r="M3" t="n">
        <v>13430</v>
      </c>
      <c r="O3">
        <f>SUM(B3:M3)</f>
        <v/>
      </c>
    </row>
    <row r="4">
      <c r="A4" t="inlineStr">
        <is>
          <t>Gebühren</t>
        </is>
      </c>
      <c r="B4" t="n">
        <v>16200</v>
      </c>
      <c r="C4" t="n">
        <v>16330</v>
      </c>
      <c r="D4" t="n">
        <v>16460</v>
      </c>
      <c r="E4" t="n">
        <v>16590</v>
      </c>
      <c r="F4" t="n">
        <v>16720</v>
      </c>
      <c r="G4" t="n">
        <v>16850</v>
      </c>
      <c r="H4" t="n">
        <v>16980</v>
      </c>
      <c r="I4" t="n">
        <v>17110</v>
      </c>
      <c r="J4" t="n">
        <v>17240</v>
      </c>
      <c r="K4" t="n">
        <v>17370</v>
      </c>
      <c r="L4" t="n">
        <v>17500</v>
      </c>
      <c r="M4" t="n">
        <v>17630</v>
      </c>
      <c r="O4">
        <f>SUM(B4:M4)</f>
        <v/>
      </c>
    </row>
    <row r="5">
      <c r="A5" t="inlineStr">
        <is>
          <t>Zuweisungen</t>
        </is>
      </c>
      <c r="B5" t="n">
        <v>20400</v>
      </c>
      <c r="C5" t="n">
        <v>20530</v>
      </c>
      <c r="D5" t="n">
        <v>20660</v>
      </c>
      <c r="E5" t="n">
        <v>20790</v>
      </c>
      <c r="F5" t="n">
        <v>20920</v>
      </c>
      <c r="G5" t="n">
        <v>21050</v>
      </c>
      <c r="H5" t="n">
        <v>21180</v>
      </c>
      <c r="I5" t="n">
        <v>21310</v>
      </c>
      <c r="J5" t="n">
        <v>21440</v>
      </c>
      <c r="K5" t="n">
        <v>21570</v>
      </c>
      <c r="L5" t="n">
        <v>21700</v>
      </c>
      <c r="M5" t="n">
        <v>21830</v>
      </c>
      <c r="O5">
        <f>SUM(B5:M5)</f>
        <v/>
      </c>
    </row>
    <row r="6">
      <c r="A6" t="inlineStr">
        <is>
          <t>Sonstige Erträge</t>
        </is>
      </c>
      <c r="B6" t="n">
        <v>24600</v>
      </c>
      <c r="C6" t="n">
        <v>24730</v>
      </c>
      <c r="D6" t="n">
        <v>24860</v>
      </c>
      <c r="E6" t="n">
        <v>24990</v>
      </c>
      <c r="F6" t="n">
        <v>25120</v>
      </c>
      <c r="G6" t="n">
        <v>25250</v>
      </c>
      <c r="H6" t="n">
        <v>25380</v>
      </c>
      <c r="I6" t="n">
        <v>25510</v>
      </c>
      <c r="J6" t="n">
        <v>25640</v>
      </c>
      <c r="K6" t="n">
        <v>25770</v>
      </c>
      <c r="L6" t="n">
        <v>25900</v>
      </c>
      <c r="M6" t="n">
        <v>26030</v>
      </c>
      <c r="O6">
        <f>SUM(B6:M6)</f>
        <v/>
      </c>
    </row>
    <row r="7">
      <c r="A7" s="3" t="inlineStr">
        <is>
          <t>Gesamt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SUM(G3:G6)</f>
        <v/>
      </c>
      <c r="H7">
        <f>SUM(H3:H6)</f>
        <v/>
      </c>
      <c r="I7">
        <f>SUM(I3:I6)</f>
        <v/>
      </c>
      <c r="J7">
        <f>SUM(J3:J6)</f>
        <v/>
      </c>
      <c r="K7">
        <f>SUM(K3:K6)</f>
        <v/>
      </c>
      <c r="L7">
        <f>SUM(L3:L6)</f>
        <v/>
      </c>
      <c r="M7">
        <f>SUM(M3:M6)</f>
        <v/>
      </c>
      <c r="N7">
        <f>SUM(N3:N6)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Ausgaben 2025 (in €)</t>
        </is>
      </c>
    </row>
    <row r="2">
      <c r="A2" s="2" t="inlineStr">
        <is>
          <t>Kategorie</t>
        </is>
      </c>
      <c r="B2" s="2" t="inlineStr">
        <is>
          <t>Januar</t>
        </is>
      </c>
      <c r="C2" s="2" t="inlineStr">
        <is>
          <t>Februar</t>
        </is>
      </c>
      <c r="D2" s="2" t="inlineStr">
        <is>
          <t>März</t>
        </is>
      </c>
      <c r="E2" s="2" t="inlineStr">
        <is>
          <t>April</t>
        </is>
      </c>
      <c r="F2" s="2" t="inlineStr">
        <is>
          <t>Mai</t>
        </is>
      </c>
      <c r="G2" s="2" t="inlineStr">
        <is>
          <t>Juni</t>
        </is>
      </c>
      <c r="H2" s="2" t="inlineStr">
        <is>
          <t>Juli</t>
        </is>
      </c>
      <c r="I2" s="2" t="inlineStr">
        <is>
          <t>August</t>
        </is>
      </c>
      <c r="J2" s="2" t="inlineStr">
        <is>
          <t>September</t>
        </is>
      </c>
      <c r="K2" s="2" t="inlineStr">
        <is>
          <t>Oktober</t>
        </is>
      </c>
      <c r="L2" s="2" t="inlineStr">
        <is>
          <t>November</t>
        </is>
      </c>
      <c r="M2" s="2" t="inlineStr">
        <is>
          <t>Dezember</t>
        </is>
      </c>
      <c r="N2" s="2" t="inlineStr">
        <is>
          <t>Summe</t>
        </is>
      </c>
    </row>
    <row r="3">
      <c r="A3" t="inlineStr">
        <is>
          <t>Personal</t>
        </is>
      </c>
      <c r="B3" t="n">
        <v>9000</v>
      </c>
      <c r="C3" t="n">
        <v>9095</v>
      </c>
      <c r="D3" t="n">
        <v>9190</v>
      </c>
      <c r="E3" t="n">
        <v>9285</v>
      </c>
      <c r="F3" t="n">
        <v>9380</v>
      </c>
      <c r="G3" t="n">
        <v>9475</v>
      </c>
      <c r="H3" t="n">
        <v>9570</v>
      </c>
      <c r="I3" t="n">
        <v>9665</v>
      </c>
      <c r="J3" t="n">
        <v>9760</v>
      </c>
      <c r="K3" t="n">
        <v>9855</v>
      </c>
      <c r="L3" t="n">
        <v>9950</v>
      </c>
      <c r="M3" t="n">
        <v>10045</v>
      </c>
      <c r="N3">
        <f>SUM(B3:M3)</f>
        <v/>
      </c>
    </row>
    <row r="4">
      <c r="A4" t="inlineStr">
        <is>
          <t>Sachaufwand</t>
        </is>
      </c>
      <c r="B4" t="n">
        <v>12100</v>
      </c>
      <c r="C4" t="n">
        <v>12195</v>
      </c>
      <c r="D4" t="n">
        <v>12290</v>
      </c>
      <c r="E4" t="n">
        <v>12385</v>
      </c>
      <c r="F4" t="n">
        <v>12480</v>
      </c>
      <c r="G4" t="n">
        <v>12575</v>
      </c>
      <c r="H4" t="n">
        <v>12670</v>
      </c>
      <c r="I4" t="n">
        <v>12765</v>
      </c>
      <c r="J4" t="n">
        <v>12860</v>
      </c>
      <c r="K4" t="n">
        <v>12955</v>
      </c>
      <c r="L4" t="n">
        <v>13050</v>
      </c>
      <c r="M4" t="n">
        <v>13145</v>
      </c>
      <c r="N4">
        <f>SUM(B4:M4)</f>
        <v/>
      </c>
    </row>
    <row r="5">
      <c r="A5" t="inlineStr">
        <is>
          <t>Investitionen</t>
        </is>
      </c>
      <c r="B5" t="n">
        <v>15200</v>
      </c>
      <c r="C5" t="n">
        <v>15295</v>
      </c>
      <c r="D5" t="n">
        <v>15390</v>
      </c>
      <c r="E5" t="n">
        <v>15485</v>
      </c>
      <c r="F5" t="n">
        <v>15580</v>
      </c>
      <c r="G5" t="n">
        <v>15675</v>
      </c>
      <c r="H5" t="n">
        <v>15770</v>
      </c>
      <c r="I5" t="n">
        <v>15865</v>
      </c>
      <c r="J5" t="n">
        <v>15960</v>
      </c>
      <c r="K5" t="n">
        <v>16055</v>
      </c>
      <c r="L5" t="n">
        <v>16150</v>
      </c>
      <c r="M5" t="n">
        <v>16245</v>
      </c>
      <c r="N5">
        <f>SUM(B5:M5)</f>
        <v/>
      </c>
    </row>
    <row r="6">
      <c r="A6" t="inlineStr">
        <is>
          <t>Zinsen</t>
        </is>
      </c>
      <c r="B6" t="n">
        <v>18300</v>
      </c>
      <c r="C6" t="n">
        <v>18395</v>
      </c>
      <c r="D6" t="n">
        <v>18490</v>
      </c>
      <c r="E6" t="n">
        <v>18585</v>
      </c>
      <c r="F6" t="n">
        <v>18680</v>
      </c>
      <c r="G6" t="n">
        <v>18775</v>
      </c>
      <c r="H6" t="n">
        <v>18870</v>
      </c>
      <c r="I6" t="n">
        <v>18965</v>
      </c>
      <c r="J6" t="n">
        <v>19060</v>
      </c>
      <c r="K6" t="n">
        <v>19155</v>
      </c>
      <c r="L6" t="n">
        <v>19250</v>
      </c>
      <c r="M6" t="n">
        <v>19345</v>
      </c>
      <c r="N6">
        <f>SUM(B6:M6)</f>
        <v/>
      </c>
    </row>
    <row r="7">
      <c r="A7" t="inlineStr">
        <is>
          <t>Transferleistungen</t>
        </is>
      </c>
      <c r="B7" t="n">
        <v>21400</v>
      </c>
      <c r="C7" t="n">
        <v>21495</v>
      </c>
      <c r="D7" t="n">
        <v>21590</v>
      </c>
      <c r="E7" t="n">
        <v>21685</v>
      </c>
      <c r="F7" t="n">
        <v>21780</v>
      </c>
      <c r="G7" t="n">
        <v>21875</v>
      </c>
      <c r="H7" t="n">
        <v>21970</v>
      </c>
      <c r="I7" t="n">
        <v>22065</v>
      </c>
      <c r="J7" t="n">
        <v>22160</v>
      </c>
      <c r="K7" t="n">
        <v>22255</v>
      </c>
      <c r="L7" t="n">
        <v>22350</v>
      </c>
      <c r="M7" t="n">
        <v>22445</v>
      </c>
      <c r="N7">
        <f>SUM(B7:M7)</f>
        <v/>
      </c>
    </row>
    <row r="8">
      <c r="A8" t="inlineStr">
        <is>
          <t>Unterhalt</t>
        </is>
      </c>
      <c r="B8" t="n">
        <v>24500</v>
      </c>
      <c r="C8" t="n">
        <v>24595</v>
      </c>
      <c r="D8" t="n">
        <v>24690</v>
      </c>
      <c r="E8" t="n">
        <v>24785</v>
      </c>
      <c r="F8" t="n">
        <v>24880</v>
      </c>
      <c r="G8" t="n">
        <v>24975</v>
      </c>
      <c r="H8" t="n">
        <v>25070</v>
      </c>
      <c r="I8" t="n">
        <v>25165</v>
      </c>
      <c r="J8" t="n">
        <v>25260</v>
      </c>
      <c r="K8" t="n">
        <v>25355</v>
      </c>
      <c r="L8" t="n">
        <v>25450</v>
      </c>
      <c r="M8" t="n">
        <v>25545</v>
      </c>
      <c r="N8">
        <f>SUM(B8:M8)</f>
        <v/>
      </c>
    </row>
    <row r="9">
      <c r="A9" s="3" t="inlineStr">
        <is>
          <t>Gesamt</t>
        </is>
      </c>
      <c r="B9">
        <f>SUM(B3:B8)</f>
        <v/>
      </c>
      <c r="C9">
        <f>SUM(C3:C8)</f>
        <v/>
      </c>
      <c r="D9">
        <f>SUM(D3:D8)</f>
        <v/>
      </c>
      <c r="E9">
        <f>SUM(E3:E8)</f>
        <v/>
      </c>
      <c r="F9">
        <f>SUM(F3:F8)</f>
        <v/>
      </c>
      <c r="G9">
        <f>SUM(G3:G8)</f>
        <v/>
      </c>
      <c r="H9">
        <f>SUM(H3:H8)</f>
        <v/>
      </c>
      <c r="I9">
        <f>SUM(I3:I8)</f>
        <v/>
      </c>
      <c r="J9">
        <f>SUM(J3:J8)</f>
        <v/>
      </c>
      <c r="K9">
        <f>SUM(K3:K8)</f>
        <v/>
      </c>
      <c r="L9">
        <f>SUM(L3:L8)</f>
        <v/>
      </c>
      <c r="M9">
        <f>SUM(M3:M8)</f>
        <v/>
      </c>
      <c r="N9">
        <f>SUM(N3:N8)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Bilanz 2025</t>
        </is>
      </c>
    </row>
    <row r="2">
      <c r="A2" s="2" t="inlineStr">
        <is>
          <t>Position</t>
        </is>
      </c>
      <c r="B2" s="2" t="inlineStr">
        <is>
          <t>Betrag (€)</t>
        </is>
      </c>
    </row>
    <row r="3">
      <c r="A3" t="inlineStr">
        <is>
          <t>Einnahmen gesamt</t>
        </is>
      </c>
      <c r="B3">
        <f>Einnahmen.N7</f>
        <v/>
      </c>
    </row>
    <row r="4">
      <c r="A4" t="inlineStr">
        <is>
          <t>Ausgaben gesamt</t>
        </is>
      </c>
      <c r="B4">
        <f>Ausgaben.N9</f>
        <v/>
      </c>
    </row>
    <row r="5">
      <c r="A5" s="3" t="inlineStr">
        <is>
          <t>Saldo</t>
        </is>
      </c>
      <c r="B5" s="3">
        <f>B3-B4</f>
        <v/>
      </c>
    </row>
    <row r="6">
      <c r="A6" t="inlineStr">
        <is>
          <t>Deckungsquote</t>
        </is>
      </c>
      <c r="B6">
        <f>ROUND(B3/B4*100,2)</f>
        <v/>
      </c>
    </row>
    <row r="7">
      <c r="A7" t="inlineStr">
        <is>
          <t>Status</t>
        </is>
      </c>
      <c r="B7">
        <f>IF(B5&gt;=0,"ausgeglichen","Defizit")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2026-06-27T13:16:03Z</dcterms:created>
  <dcterms:modified xsi:type="dcterms:W3CDTF">2026-06-27T13:16:03Z</dcterms:modified>
</cp:coreProperties>
</file>